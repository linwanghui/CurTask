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CC47AAF1-B9A2-40E2-9456-F8AC38AEA593}" xr6:coauthVersionLast="47" xr6:coauthVersionMax="47" xr10:uidLastSave="{00000000-0000-0000-0000-000000000000}"/>
  <bookViews>
    <workbookView xWindow="2688" yWindow="732" windowWidth="24048" windowHeight="13236" xr2:uid="{DB71F79F-A325-4EE3-8669-6BC3700E2050}"/>
  </bookViews>
  <sheets>
    <sheet name="sk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C13" i="1" s="1"/>
  <c r="B12" i="1"/>
  <c r="C12" i="1" s="1"/>
  <c r="B11" i="1"/>
  <c r="C10" i="1"/>
  <c r="A10" i="1" s="1"/>
  <c r="B10" i="1"/>
  <c r="C9" i="1"/>
  <c r="B9" i="1"/>
  <c r="A9" i="1" s="1"/>
  <c r="C8" i="1"/>
  <c r="A8" i="1" s="1"/>
  <c r="B8" i="1"/>
  <c r="B7" i="1"/>
  <c r="C7" i="1" s="1"/>
  <c r="A7" i="1" s="1"/>
  <c r="C6" i="1"/>
  <c r="A6" i="1" s="1"/>
  <c r="B6" i="1"/>
  <c r="B5" i="1"/>
  <c r="C5" i="1" s="1"/>
  <c r="B4" i="1"/>
  <c r="C4" i="1" s="1"/>
  <c r="A4" i="1" s="1"/>
  <c r="A11" i="1" l="1"/>
  <c r="C11" i="1"/>
  <c r="A12" i="1"/>
  <c r="A5" i="1"/>
  <c r="A13" i="1"/>
</calcChain>
</file>

<file path=xl/sharedStrings.xml><?xml version="1.0" encoding="utf-8"?>
<sst xmlns="http://schemas.openxmlformats.org/spreadsheetml/2006/main" count="38" uniqueCount="35">
  <si>
    <t>str</t>
  </si>
  <si>
    <t>id</t>
  </si>
  <si>
    <t>ID</t>
  </si>
  <si>
    <t>idd</t>
  </si>
  <si>
    <t>name</t>
  </si>
  <si>
    <t>skinname</t>
  </si>
  <si>
    <t>gun</t>
  </si>
  <si>
    <t>子id2</t>
  </si>
  <si>
    <t>皮肤名</t>
  </si>
  <si>
    <t>调用名</t>
  </si>
  <si>
    <t>替换枪械</t>
  </si>
  <si>
    <t>AKM_动力风潮</t>
    <phoneticPr fontId="3" type="noConversion"/>
  </si>
  <si>
    <t>AKM</t>
  </si>
  <si>
    <t>AKM_阿萨拉卫队</t>
    <phoneticPr fontId="3" type="noConversion"/>
  </si>
  <si>
    <t>ASh-12_飓风行动</t>
    <phoneticPr fontId="3" type="noConversion"/>
  </si>
  <si>
    <t>ASh-12</t>
  </si>
  <si>
    <t>AUG_哈夫克工业</t>
    <phoneticPr fontId="3" type="noConversion"/>
  </si>
  <si>
    <t>AUG</t>
  </si>
  <si>
    <t>K416_街头艺术</t>
    <phoneticPr fontId="3" type="noConversion"/>
  </si>
  <si>
    <t>K416</t>
  </si>
  <si>
    <t>M4A1_棱镜攻势</t>
    <phoneticPr fontId="3" type="noConversion"/>
  </si>
  <si>
    <t>M4A1</t>
  </si>
  <si>
    <t>M4A1_趣味贴纸</t>
    <phoneticPr fontId="3" type="noConversion"/>
  </si>
  <si>
    <t>QBZ95_粉色涂装</t>
    <phoneticPr fontId="3" type="noConversion"/>
  </si>
  <si>
    <t>QBZ95</t>
  </si>
  <si>
    <t>P90_安全工作</t>
    <phoneticPr fontId="3" type="noConversion"/>
  </si>
  <si>
    <t>P90</t>
  </si>
  <si>
    <t>维克托</t>
  </si>
  <si>
    <t>维克托_紫色行动</t>
    <phoneticPr fontId="3" type="noConversion"/>
  </si>
  <si>
    <t>ID</t>
    <phoneticPr fontId="1" type="noConversion"/>
  </si>
  <si>
    <t>子id</t>
    <phoneticPr fontId="1" type="noConversion"/>
  </si>
  <si>
    <t>SubID</t>
    <phoneticPr fontId="1" type="noConversion"/>
  </si>
  <si>
    <t>SubID2</t>
    <phoneticPr fontId="1" type="noConversion"/>
  </si>
  <si>
    <t>Name</t>
    <phoneticPr fontId="1" type="noConversion"/>
  </si>
  <si>
    <t>GunName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</si>
</sst>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915;&#33905;\&#20462;&#21246;&#31361;&#22260;\78&#19977;&#35282;&#27954;.xls" TargetMode="External"/><Relationship Id="rId1" Type="http://schemas.openxmlformats.org/officeDocument/2006/relationships/externalLinkPath" Target="/&#27915;&#33905;/&#20462;&#21246;&#31361;&#22260;/78&#19977;&#35282;&#279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s"/>
      <sheetName val="config"/>
      <sheetName val="ConsumablesDes"/>
      <sheetName val="AmmunitionDes"/>
      <sheetName val="GunDes"/>
      <sheetName val="EquipDes"/>
      <sheetName val="Gym"/>
      <sheetName val="warehouse"/>
      <sheetName val="Worktable"/>
      <sheetName val="GunEquipment"/>
      <sheetName val="skin"/>
      <sheetName val="Monster"/>
      <sheetName val="PrizePool"/>
    </sheetNames>
    <sheetDataSet>
      <sheetData sheetId="0"/>
      <sheetData sheetId="1"/>
      <sheetData sheetId="2"/>
      <sheetData sheetId="3"/>
      <sheetData sheetId="4">
        <row r="33">
          <cell r="E33" t="str">
            <v>QCQ171</v>
          </cell>
          <cell r="F33">
            <v>51301</v>
          </cell>
        </row>
        <row r="34">
          <cell r="E34" t="str">
            <v>MP5</v>
          </cell>
          <cell r="F34">
            <v>51302</v>
          </cell>
        </row>
        <row r="35">
          <cell r="E35" t="str">
            <v>P90</v>
          </cell>
          <cell r="F35">
            <v>50501</v>
          </cell>
        </row>
        <row r="36">
          <cell r="E36" t="str">
            <v>维克托</v>
          </cell>
          <cell r="F36">
            <v>50101</v>
          </cell>
        </row>
        <row r="37">
          <cell r="E37" t="str">
            <v>UZI</v>
          </cell>
          <cell r="F37">
            <v>51303</v>
          </cell>
        </row>
        <row r="38">
          <cell r="E38" t="str">
            <v>野牛</v>
          </cell>
          <cell r="F38">
            <v>51304</v>
          </cell>
        </row>
        <row r="39">
          <cell r="E39" t="str">
            <v>SMG45</v>
          </cell>
          <cell r="F39">
            <v>50102</v>
          </cell>
        </row>
        <row r="40">
          <cell r="E40" t="str">
            <v>SR-3M</v>
          </cell>
          <cell r="F40">
            <v>51401</v>
          </cell>
        </row>
        <row r="41">
          <cell r="E41" t="str">
            <v>勇士</v>
          </cell>
          <cell r="F41">
            <v>51305</v>
          </cell>
        </row>
        <row r="42">
          <cell r="E42" t="str">
            <v>MP7</v>
          </cell>
          <cell r="F42">
            <v>50401</v>
          </cell>
        </row>
        <row r="43">
          <cell r="E43" t="str">
            <v>QSZ92G</v>
          </cell>
          <cell r="F43">
            <v>51306</v>
          </cell>
        </row>
        <row r="44">
          <cell r="E44" t="str">
            <v>.357左轮</v>
          </cell>
          <cell r="F44">
            <v>50301</v>
          </cell>
        </row>
        <row r="45">
          <cell r="E45" t="str">
            <v>沙漠之鹰</v>
          </cell>
          <cell r="F45">
            <v>50201</v>
          </cell>
        </row>
        <row r="46">
          <cell r="E46" t="str">
            <v>G18</v>
          </cell>
          <cell r="F46">
            <v>51307</v>
          </cell>
        </row>
        <row r="47">
          <cell r="E47" t="str">
            <v>93R</v>
          </cell>
          <cell r="F47">
            <v>51308</v>
          </cell>
        </row>
        <row r="48">
          <cell r="E48" t="str">
            <v>G17</v>
          </cell>
          <cell r="F48">
            <v>51309</v>
          </cell>
        </row>
        <row r="49">
          <cell r="E49" t="str">
            <v>M1911</v>
          </cell>
          <cell r="F49">
            <v>50103</v>
          </cell>
        </row>
        <row r="50">
          <cell r="E50" t="str">
            <v>M4A1</v>
          </cell>
          <cell r="F50">
            <v>50801</v>
          </cell>
        </row>
        <row r="51">
          <cell r="E51" t="str">
            <v>AKM</v>
          </cell>
          <cell r="F51">
            <v>51001</v>
          </cell>
        </row>
        <row r="52">
          <cell r="E52" t="str">
            <v>QBZ95</v>
          </cell>
          <cell r="F52">
            <v>50601</v>
          </cell>
        </row>
        <row r="53">
          <cell r="E53" t="str">
            <v>AKS-74U</v>
          </cell>
          <cell r="F53">
            <v>50701</v>
          </cell>
        </row>
        <row r="54">
          <cell r="E54" t="str">
            <v>ASh-12</v>
          </cell>
          <cell r="F54">
            <v>51501</v>
          </cell>
        </row>
        <row r="55">
          <cell r="E55" t="str">
            <v>K416</v>
          </cell>
          <cell r="F55">
            <v>50802</v>
          </cell>
        </row>
        <row r="56">
          <cell r="E56" t="str">
            <v>M16A4</v>
          </cell>
          <cell r="F56">
            <v>50803</v>
          </cell>
        </row>
        <row r="57">
          <cell r="E57" t="str">
            <v>AUG</v>
          </cell>
          <cell r="F57">
            <v>50804</v>
          </cell>
        </row>
        <row r="58">
          <cell r="E58" t="str">
            <v>M7</v>
          </cell>
          <cell r="F58">
            <v>50901</v>
          </cell>
        </row>
        <row r="59">
          <cell r="E59" t="str">
            <v>SG552</v>
          </cell>
          <cell r="F59">
            <v>50805</v>
          </cell>
        </row>
        <row r="60">
          <cell r="E60" t="str">
            <v>AK-12</v>
          </cell>
          <cell r="F60">
            <v>50702</v>
          </cell>
        </row>
        <row r="61">
          <cell r="E61" t="str">
            <v>SCAR-H</v>
          </cell>
          <cell r="F61">
            <v>51101</v>
          </cell>
        </row>
        <row r="62">
          <cell r="E62" t="str">
            <v>G3</v>
          </cell>
          <cell r="F62">
            <v>51102</v>
          </cell>
        </row>
        <row r="63">
          <cell r="E63" t="str">
            <v>PTR-32</v>
          </cell>
          <cell r="F63">
            <v>51002</v>
          </cell>
        </row>
        <row r="64">
          <cell r="E64" t="str">
            <v>CAR-15</v>
          </cell>
          <cell r="F64">
            <v>50806</v>
          </cell>
        </row>
        <row r="65">
          <cell r="E65" t="str">
            <v>ASVal</v>
          </cell>
          <cell r="F65">
            <v>51402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7909-B55A-4EA5-BA72-19B16A90B000}">
  <dimension ref="A1:F13"/>
  <sheetViews>
    <sheetView tabSelected="1" workbookViewId="0">
      <selection activeCell="H4" sqref="H4"/>
    </sheetView>
  </sheetViews>
  <sheetFormatPr defaultRowHeight="13.8" x14ac:dyDescent="0.25"/>
  <cols>
    <col min="4" max="4" width="22.6640625" customWidth="1"/>
  </cols>
  <sheetData>
    <row r="1" spans="1:6" x14ac:dyDescent="0.25">
      <c r="A1" t="s">
        <v>29</v>
      </c>
      <c r="B1" t="s">
        <v>31</v>
      </c>
      <c r="C1" t="s">
        <v>32</v>
      </c>
      <c r="D1" t="s">
        <v>33</v>
      </c>
      <c r="E1" t="s">
        <v>0</v>
      </c>
      <c r="F1" t="s">
        <v>34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29</v>
      </c>
      <c r="B3" t="s">
        <v>30</v>
      </c>
      <c r="C3" t="s">
        <v>7</v>
      </c>
      <c r="D3" t="s">
        <v>8</v>
      </c>
      <c r="E3" t="s">
        <v>9</v>
      </c>
      <c r="F3" t="s">
        <v>10</v>
      </c>
    </row>
    <row r="4" spans="1:6" ht="15.6" x14ac:dyDescent="0.25">
      <c r="A4">
        <f t="shared" ref="A4:A13" si="0">B4*10+C4</f>
        <v>510012</v>
      </c>
      <c r="B4">
        <f>VLOOKUP($F4,[1]GunDes!$E$33:$F56,2,FALSE)</f>
        <v>51001</v>
      </c>
      <c r="C4">
        <f>COUNTIF($B4:B$33,B4)</f>
        <v>2</v>
      </c>
      <c r="D4" s="1" t="s">
        <v>11</v>
      </c>
      <c r="F4" t="s">
        <v>12</v>
      </c>
    </row>
    <row r="5" spans="1:6" ht="15.6" x14ac:dyDescent="0.25">
      <c r="A5">
        <f t="shared" si="0"/>
        <v>510011</v>
      </c>
      <c r="B5">
        <f>VLOOKUP($F5,[1]GunDes!$E$33:$F57,2,FALSE)</f>
        <v>51001</v>
      </c>
      <c r="C5">
        <f>COUNTIF($B5:B$33,B5)</f>
        <v>1</v>
      </c>
      <c r="D5" s="1" t="s">
        <v>13</v>
      </c>
      <c r="F5" t="s">
        <v>12</v>
      </c>
    </row>
    <row r="6" spans="1:6" ht="15.6" x14ac:dyDescent="0.25">
      <c r="A6">
        <f t="shared" si="0"/>
        <v>515011</v>
      </c>
      <c r="B6">
        <f>VLOOKUP($F6,[1]GunDes!$E$33:$F58,2,FALSE)</f>
        <v>51501</v>
      </c>
      <c r="C6">
        <f>COUNTIF($B6:B$33,B6)</f>
        <v>1</v>
      </c>
      <c r="D6" s="1" t="s">
        <v>14</v>
      </c>
      <c r="F6" t="s">
        <v>15</v>
      </c>
    </row>
    <row r="7" spans="1:6" ht="15.6" x14ac:dyDescent="0.25">
      <c r="A7">
        <f t="shared" si="0"/>
        <v>508041</v>
      </c>
      <c r="B7">
        <f>VLOOKUP($F7,[1]GunDes!$E$33:$F59,2,FALSE)</f>
        <v>50804</v>
      </c>
      <c r="C7">
        <f>COUNTIF($B7:B$33,B7)</f>
        <v>1</v>
      </c>
      <c r="D7" s="1" t="s">
        <v>16</v>
      </c>
      <c r="F7" t="s">
        <v>17</v>
      </c>
    </row>
    <row r="8" spans="1:6" ht="15.6" x14ac:dyDescent="0.25">
      <c r="A8">
        <f t="shared" si="0"/>
        <v>508021</v>
      </c>
      <c r="B8">
        <f>VLOOKUP($F8,[1]GunDes!$E$33:$F60,2,FALSE)</f>
        <v>50802</v>
      </c>
      <c r="C8">
        <f>COUNTIF($B8:B$33,B8)</f>
        <v>1</v>
      </c>
      <c r="D8" s="1" t="s">
        <v>18</v>
      </c>
      <c r="F8" t="s">
        <v>19</v>
      </c>
    </row>
    <row r="9" spans="1:6" ht="15.6" x14ac:dyDescent="0.25">
      <c r="A9">
        <f t="shared" si="0"/>
        <v>508012</v>
      </c>
      <c r="B9">
        <f>VLOOKUP($F9,[1]GunDes!$E$33:$F61,2,FALSE)</f>
        <v>50801</v>
      </c>
      <c r="C9">
        <f>COUNTIF($B9:B$33,B9)</f>
        <v>2</v>
      </c>
      <c r="D9" s="1" t="s">
        <v>20</v>
      </c>
      <c r="F9" t="s">
        <v>21</v>
      </c>
    </row>
    <row r="10" spans="1:6" ht="15.6" x14ac:dyDescent="0.25">
      <c r="A10">
        <f t="shared" si="0"/>
        <v>508011</v>
      </c>
      <c r="B10">
        <f>VLOOKUP($F10,[1]GunDes!$E$33:$F62,2,FALSE)</f>
        <v>50801</v>
      </c>
      <c r="C10">
        <f>COUNTIF($B10:B$33,B10)</f>
        <v>1</v>
      </c>
      <c r="D10" s="1" t="s">
        <v>22</v>
      </c>
      <c r="F10" t="s">
        <v>21</v>
      </c>
    </row>
    <row r="11" spans="1:6" ht="15.6" x14ac:dyDescent="0.25">
      <c r="A11">
        <f t="shared" si="0"/>
        <v>506011</v>
      </c>
      <c r="B11">
        <f>VLOOKUP($F11,[1]GunDes!$E$33:$F63,2,FALSE)</f>
        <v>50601</v>
      </c>
      <c r="C11">
        <f>COUNTIF($B11:B$33,B11)</f>
        <v>1</v>
      </c>
      <c r="D11" s="1" t="s">
        <v>23</v>
      </c>
      <c r="F11" t="s">
        <v>24</v>
      </c>
    </row>
    <row r="12" spans="1:6" ht="15.6" x14ac:dyDescent="0.25">
      <c r="A12">
        <f t="shared" si="0"/>
        <v>505011</v>
      </c>
      <c r="B12">
        <f>VLOOKUP($F12,[1]GunDes!$E$33:$F64,2,FALSE)</f>
        <v>50501</v>
      </c>
      <c r="C12">
        <f>COUNTIF($B12:B$33,B12)</f>
        <v>1</v>
      </c>
      <c r="D12" s="1" t="s">
        <v>25</v>
      </c>
      <c r="F12" t="s">
        <v>26</v>
      </c>
    </row>
    <row r="13" spans="1:6" ht="15.6" x14ac:dyDescent="0.25">
      <c r="A13">
        <f t="shared" si="0"/>
        <v>501011</v>
      </c>
      <c r="B13">
        <f>VLOOKUP($F13,[1]GunDes!$E$33:$F65,2,FALSE)</f>
        <v>50101</v>
      </c>
      <c r="C13">
        <f>COUNTIF($B13:B$33,B13)</f>
        <v>1</v>
      </c>
      <c r="D13" s="1" t="s">
        <v>28</v>
      </c>
      <c r="F13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2025-05-22T08:10:22Z</dcterms:created>
  <dcterms:modified xsi:type="dcterms:W3CDTF">2025-05-26T02:47:14Z</dcterms:modified>
</cp:coreProperties>
</file>