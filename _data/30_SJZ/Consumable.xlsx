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ocos\XM_LW\all-cocos3d-project\_data\30_SJZ\"/>
    </mc:Choice>
  </mc:AlternateContent>
  <xr:revisionPtr revIDLastSave="0" documentId="13_ncr:1_{CDA7B56F-CC11-4499-B23C-89E10610EAAC}" xr6:coauthVersionLast="47" xr6:coauthVersionMax="47" xr10:uidLastSave="{00000000-0000-0000-0000-000000000000}"/>
  <bookViews>
    <workbookView xWindow="3036" yWindow="1080" windowWidth="24048" windowHeight="13236" xr2:uid="{71B66F26-0A80-4C04-88BD-0059E4ACEF4A}"/>
  </bookViews>
  <sheets>
    <sheet name="Consumab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H4" i="1"/>
  <c r="B5" i="1"/>
  <c r="H5" i="1"/>
  <c r="B6" i="1"/>
  <c r="H6" i="1"/>
  <c r="B7" i="1"/>
  <c r="H7" i="1"/>
  <c r="B8" i="1"/>
  <c r="H8" i="1"/>
  <c r="B9" i="1"/>
  <c r="H9" i="1"/>
  <c r="B10" i="1"/>
  <c r="H10" i="1"/>
  <c r="B11" i="1"/>
  <c r="H11" i="1"/>
  <c r="B12" i="1"/>
  <c r="H12" i="1"/>
  <c r="B13" i="1"/>
  <c r="H13" i="1"/>
  <c r="B14" i="1"/>
  <c r="H14" i="1"/>
  <c r="B15" i="1"/>
  <c r="H15" i="1"/>
  <c r="B16" i="1"/>
  <c r="H16" i="1"/>
  <c r="B17" i="1"/>
  <c r="H17" i="1"/>
  <c r="B18" i="1"/>
  <c r="B19" i="1"/>
  <c r="B20" i="1"/>
  <c r="B21" i="1"/>
  <c r="B22" i="1"/>
  <c r="B23" i="1"/>
  <c r="B24" i="1"/>
  <c r="B25" i="1"/>
</calcChain>
</file>

<file path=xl/sharedStrings.xml><?xml version="1.0" encoding="utf-8"?>
<sst xmlns="http://schemas.openxmlformats.org/spreadsheetml/2006/main" count="126" uniqueCount="93">
  <si>
    <t>1_1</t>
  </si>
  <si>
    <t>缓释止痛片</t>
  </si>
  <si>
    <t>瓶装抗生素</t>
  </si>
  <si>
    <t>DVE止疼片</t>
  </si>
  <si>
    <t>弹力绷带</t>
  </si>
  <si>
    <t>CAT止血带</t>
  </si>
  <si>
    <t>简易手术包</t>
  </si>
  <si>
    <t>2_1</t>
  </si>
  <si>
    <t>战术快拆手术包</t>
  </si>
  <si>
    <t>3_1</t>
  </si>
  <si>
    <t>DEK野战手术包</t>
  </si>
  <si>
    <t>车载急救包</t>
  </si>
  <si>
    <t>简易注射器</t>
  </si>
  <si>
    <t>强效注射器</t>
  </si>
  <si>
    <t>野外急救包</t>
  </si>
  <si>
    <t>户外医疗箱</t>
  </si>
  <si>
    <t>2_2</t>
  </si>
  <si>
    <t>战地医疗箱</t>
  </si>
  <si>
    <t>自制头盔维修包</t>
  </si>
  <si>
    <t>自制护甲维修包</t>
  </si>
  <si>
    <t>标准头盔维修包</t>
  </si>
  <si>
    <t>标准护甲维修包</t>
  </si>
  <si>
    <t>精密头盔维修包</t>
  </si>
  <si>
    <t>精密护甲维修包</t>
  </si>
  <si>
    <t>高级头盔维修组合</t>
  </si>
  <si>
    <t>高级护甲维修组合</t>
  </si>
  <si>
    <t>生产数量</t>
  </si>
  <si>
    <t>制造时长</t>
  </si>
  <si>
    <t>制造数量</t>
  </si>
  <si>
    <t>制造所需</t>
  </si>
  <si>
    <t>PriceFluctuation</t>
  </si>
  <si>
    <t>price</t>
  </si>
  <si>
    <t>size</t>
  </si>
  <si>
    <t>weight</t>
  </si>
  <si>
    <t>costTime</t>
  </si>
  <si>
    <t>replyCoefficient</t>
  </si>
  <si>
    <t>Durability</t>
  </si>
  <si>
    <t>replySpeed</t>
  </si>
  <si>
    <t>name</t>
  </si>
  <si>
    <t>quality</t>
  </si>
  <si>
    <t>id</t>
  </si>
  <si>
    <t>ID</t>
  </si>
  <si>
    <t>num</t>
  </si>
  <si>
    <t>[num]</t>
  </si>
  <si>
    <t>价格浮动</t>
  </si>
  <si>
    <t>价格</t>
  </si>
  <si>
    <t>尺寸</t>
  </si>
  <si>
    <t>重量</t>
  </si>
  <si>
    <t>时长</t>
  </si>
  <si>
    <t>回复系数</t>
  </si>
  <si>
    <t>回复值</t>
  </si>
  <si>
    <t>回复速度</t>
  </si>
  <si>
    <t>物品名</t>
  </si>
  <si>
    <t>品质</t>
  </si>
  <si>
    <t>子id</t>
  </si>
  <si>
    <t>output</t>
  </si>
  <si>
    <t>Duration</t>
  </si>
  <si>
    <t>quantity</t>
  </si>
  <si>
    <t>Required</t>
  </si>
  <si>
    <t>str</t>
  </si>
  <si>
    <t>80102</t>
  </si>
  <si>
    <t>81401</t>
  </si>
  <si>
    <t>91306</t>
  </si>
  <si>
    <t>90301</t>
  </si>
  <si>
    <t>90201</t>
  </si>
  <si>
    <t>91307</t>
  </si>
  <si>
    <t>91309</t>
  </si>
  <si>
    <t>90103</t>
  </si>
  <si>
    <t>90801</t>
  </si>
  <si>
    <t>91001</t>
  </si>
  <si>
    <t>90701</t>
  </si>
  <si>
    <t>91501</t>
  </si>
  <si>
    <t>125019,124017,123023,122016</t>
  </si>
  <si>
    <t>1,1,1,1</t>
  </si>
  <si>
    <t>125019,123023,123022,122016</t>
  </si>
  <si>
    <t>1,1,1,3</t>
  </si>
  <si>
    <t>124022,123023</t>
  </si>
  <si>
    <t>3,1</t>
  </si>
  <si>
    <t>124022,122024,122016</t>
  </si>
  <si>
    <t>2,3,2</t>
  </si>
  <si>
    <t>122031,122030</t>
  </si>
  <si>
    <t>3,2</t>
  </si>
  <si>
    <t>122022,122021,122020</t>
  </si>
  <si>
    <t>1,1,2</t>
  </si>
  <si>
    <t>121013,121009,121011</t>
  </si>
  <si>
    <t>3,2,1</t>
  </si>
  <si>
    <t>121008,121014</t>
  </si>
  <si>
    <t>2,2</t>
  </si>
  <si>
    <t>114014,113008,132038</t>
  </si>
  <si>
    <t>2,1,1</t>
  </si>
  <si>
    <t>122023,112011,111003</t>
  </si>
  <si>
    <t>112011,112012</t>
  </si>
  <si>
    <t>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</si>
</sst>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 x14ac:knownFonts="1"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color rgb="FF333335"/>
      <name val="Arial"/>
      <family val="2"/>
    </font>
    <font>
      <sz val="13.5"/>
      <color rgb="FF33333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9" fontId="0" fillId="0" borderId="0" xfId="0" applyNumberFormat="1">
      <alignment vertical="center"/>
    </xf>
    <xf numFmtId="176" fontId="0" fillId="0" borderId="0" xfId="0" applyNumberFormat="1" applyAlignment="1">
      <alignment horizontal="right"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F0990-76D0-4920-AFD0-1F33F8B673D3}">
  <dimension ref="A1:P25"/>
  <sheetViews>
    <sheetView tabSelected="1" workbookViewId="0">
      <selection activeCell="A13" sqref="A13:XFD13"/>
    </sheetView>
  </sheetViews>
  <sheetFormatPr defaultRowHeight="15.6" x14ac:dyDescent="0.25"/>
  <cols>
    <col min="1" max="1" width="9" style="6"/>
    <col min="13" max="13" width="33.59765625" customWidth="1"/>
  </cols>
  <sheetData>
    <row r="1" spans="1:16" x14ac:dyDescent="0.25">
      <c r="A1" s="7" t="s">
        <v>42</v>
      </c>
      <c r="B1" t="s">
        <v>42</v>
      </c>
      <c r="C1" t="s">
        <v>42</v>
      </c>
      <c r="D1" t="s">
        <v>59</v>
      </c>
      <c r="E1" t="s">
        <v>42</v>
      </c>
      <c r="F1" t="s">
        <v>42</v>
      </c>
      <c r="G1" t="s">
        <v>42</v>
      </c>
      <c r="H1" t="s">
        <v>42</v>
      </c>
      <c r="I1" t="s">
        <v>42</v>
      </c>
      <c r="J1" t="s">
        <v>42</v>
      </c>
      <c r="K1" t="s">
        <v>42</v>
      </c>
      <c r="L1" t="s">
        <v>42</v>
      </c>
      <c r="M1" t="s">
        <v>58</v>
      </c>
      <c r="N1" t="s">
        <v>57</v>
      </c>
      <c r="O1" t="s">
        <v>56</v>
      </c>
      <c r="P1" t="s">
        <v>55</v>
      </c>
    </row>
    <row r="2" spans="1:16" x14ac:dyDescent="0.25">
      <c r="A2" s="7" t="s">
        <v>41</v>
      </c>
      <c r="B2" t="s">
        <v>54</v>
      </c>
      <c r="C2" t="s">
        <v>53</v>
      </c>
      <c r="D2" t="s">
        <v>52</v>
      </c>
      <c r="E2" t="s">
        <v>51</v>
      </c>
      <c r="F2" t="s">
        <v>50</v>
      </c>
      <c r="G2" t="s">
        <v>49</v>
      </c>
      <c r="H2" t="s">
        <v>48</v>
      </c>
      <c r="I2" t="s">
        <v>47</v>
      </c>
      <c r="J2" t="s">
        <v>46</v>
      </c>
      <c r="K2" t="s">
        <v>45</v>
      </c>
      <c r="L2" t="s">
        <v>44</v>
      </c>
      <c r="M2" t="s">
        <v>43</v>
      </c>
      <c r="N2" t="s">
        <v>43</v>
      </c>
      <c r="O2" t="s">
        <v>42</v>
      </c>
      <c r="P2" t="s">
        <v>42</v>
      </c>
    </row>
    <row r="3" spans="1:16" x14ac:dyDescent="0.25">
      <c r="A3" s="7" t="s">
        <v>41</v>
      </c>
      <c r="B3" t="s">
        <v>40</v>
      </c>
      <c r="C3" t="s">
        <v>39</v>
      </c>
      <c r="D3" t="s">
        <v>38</v>
      </c>
      <c r="E3" t="s">
        <v>37</v>
      </c>
      <c r="F3" t="s">
        <v>36</v>
      </c>
      <c r="G3" t="s">
        <v>35</v>
      </c>
      <c r="H3" t="s">
        <v>34</v>
      </c>
      <c r="I3" t="s">
        <v>33</v>
      </c>
      <c r="J3" t="s">
        <v>32</v>
      </c>
      <c r="K3" t="s">
        <v>31</v>
      </c>
      <c r="L3" t="s">
        <v>30</v>
      </c>
      <c r="M3" t="s">
        <v>29</v>
      </c>
      <c r="N3" t="s">
        <v>28</v>
      </c>
      <c r="O3" t="s">
        <v>27</v>
      </c>
      <c r="P3" t="s">
        <v>26</v>
      </c>
    </row>
    <row r="4" spans="1:16" x14ac:dyDescent="0.25">
      <c r="A4" s="6">
        <v>81301</v>
      </c>
      <c r="B4">
        <f>COUNTIF($C4:$C$33,C4)</f>
        <v>2</v>
      </c>
      <c r="C4">
        <v>6</v>
      </c>
      <c r="D4" t="s">
        <v>25</v>
      </c>
      <c r="E4">
        <v>12</v>
      </c>
      <c r="F4">
        <v>200</v>
      </c>
      <c r="G4">
        <v>0.3</v>
      </c>
      <c r="H4" s="6">
        <f t="shared" ref="H4:H17" si="0">(F4/E4)*G4</f>
        <v>5</v>
      </c>
      <c r="I4">
        <v>100</v>
      </c>
      <c r="J4" t="s">
        <v>16</v>
      </c>
      <c r="K4">
        <v>700000</v>
      </c>
      <c r="L4" s="1">
        <v>0.18</v>
      </c>
      <c r="M4" t="s">
        <v>72</v>
      </c>
      <c r="N4" t="s">
        <v>73</v>
      </c>
      <c r="O4">
        <v>600</v>
      </c>
      <c r="P4">
        <v>1</v>
      </c>
    </row>
    <row r="5" spans="1:16" x14ac:dyDescent="0.25">
      <c r="A5" s="6">
        <v>81302</v>
      </c>
      <c r="B5">
        <f>COUNTIF($C5:$C$33,C5)</f>
        <v>1</v>
      </c>
      <c r="C5">
        <v>6</v>
      </c>
      <c r="D5" t="s">
        <v>24</v>
      </c>
      <c r="E5">
        <v>12</v>
      </c>
      <c r="F5">
        <v>100</v>
      </c>
      <c r="G5">
        <v>0.4</v>
      </c>
      <c r="H5" s="2">
        <f t="shared" si="0"/>
        <v>3.3333333333333339</v>
      </c>
      <c r="I5">
        <v>100</v>
      </c>
      <c r="J5" t="s">
        <v>16</v>
      </c>
      <c r="K5">
        <v>300000</v>
      </c>
      <c r="L5" s="1">
        <v>0.15</v>
      </c>
      <c r="M5" t="s">
        <v>74</v>
      </c>
      <c r="N5" t="s">
        <v>75</v>
      </c>
      <c r="O5">
        <v>360</v>
      </c>
      <c r="P5">
        <v>1</v>
      </c>
    </row>
    <row r="6" spans="1:16" x14ac:dyDescent="0.25">
      <c r="A6" s="6">
        <v>80501</v>
      </c>
      <c r="B6">
        <f>COUNTIF($C6:$C$33,C6)</f>
        <v>3</v>
      </c>
      <c r="C6">
        <v>5</v>
      </c>
      <c r="D6" t="s">
        <v>23</v>
      </c>
      <c r="E6">
        <v>15</v>
      </c>
      <c r="F6">
        <v>120</v>
      </c>
      <c r="G6">
        <v>1</v>
      </c>
      <c r="H6" s="2">
        <f t="shared" si="0"/>
        <v>8</v>
      </c>
      <c r="I6">
        <v>85</v>
      </c>
      <c r="J6" t="s">
        <v>16</v>
      </c>
      <c r="K6">
        <v>220000</v>
      </c>
      <c r="L6" s="1">
        <v>0.1</v>
      </c>
      <c r="M6" t="s">
        <v>76</v>
      </c>
      <c r="N6" t="s">
        <v>77</v>
      </c>
      <c r="O6">
        <v>180</v>
      </c>
      <c r="P6">
        <v>1</v>
      </c>
    </row>
    <row r="7" spans="1:16" x14ac:dyDescent="0.25">
      <c r="A7" s="6">
        <v>80101</v>
      </c>
      <c r="B7">
        <f>COUNTIF($C7:$C$33,C7)</f>
        <v>2</v>
      </c>
      <c r="C7">
        <v>5</v>
      </c>
      <c r="D7" t="s">
        <v>22</v>
      </c>
      <c r="E7">
        <v>15</v>
      </c>
      <c r="F7">
        <v>80</v>
      </c>
      <c r="G7">
        <v>1</v>
      </c>
      <c r="H7" s="2">
        <f t="shared" si="0"/>
        <v>5.333333333333333</v>
      </c>
      <c r="I7">
        <v>85</v>
      </c>
      <c r="J7" t="s">
        <v>9</v>
      </c>
      <c r="K7">
        <v>170000</v>
      </c>
      <c r="L7" s="1">
        <v>0.12</v>
      </c>
      <c r="M7" t="s">
        <v>78</v>
      </c>
      <c r="N7" t="s">
        <v>79</v>
      </c>
      <c r="O7">
        <v>120</v>
      </c>
      <c r="P7">
        <v>1</v>
      </c>
    </row>
    <row r="8" spans="1:16" x14ac:dyDescent="0.25">
      <c r="A8" s="6">
        <v>81303</v>
      </c>
      <c r="B8">
        <f>COUNTIF($C8:$C$33,C8)</f>
        <v>5</v>
      </c>
      <c r="C8">
        <v>4</v>
      </c>
      <c r="D8" t="s">
        <v>21</v>
      </c>
      <c r="E8">
        <v>10</v>
      </c>
      <c r="F8">
        <v>75</v>
      </c>
      <c r="G8">
        <v>0.8</v>
      </c>
      <c r="H8" s="2">
        <f t="shared" si="0"/>
        <v>6</v>
      </c>
      <c r="I8">
        <v>70</v>
      </c>
      <c r="J8" t="s">
        <v>9</v>
      </c>
      <c r="K8">
        <v>47000</v>
      </c>
      <c r="L8" s="1">
        <v>0.08</v>
      </c>
      <c r="M8" t="s">
        <v>80</v>
      </c>
      <c r="N8" t="s">
        <v>81</v>
      </c>
      <c r="O8">
        <v>120</v>
      </c>
      <c r="P8">
        <v>1</v>
      </c>
    </row>
    <row r="9" spans="1:16" x14ac:dyDescent="0.25">
      <c r="A9" s="6">
        <v>81304</v>
      </c>
      <c r="B9">
        <f>COUNTIF($C9:$C$33,C9)</f>
        <v>4</v>
      </c>
      <c r="C9">
        <v>4</v>
      </c>
      <c r="D9" t="s">
        <v>20</v>
      </c>
      <c r="E9">
        <v>10</v>
      </c>
      <c r="F9">
        <v>50</v>
      </c>
      <c r="G9">
        <v>0.8</v>
      </c>
      <c r="H9" s="2">
        <f t="shared" si="0"/>
        <v>4</v>
      </c>
      <c r="I9">
        <v>70</v>
      </c>
      <c r="J9" t="s">
        <v>7</v>
      </c>
      <c r="K9">
        <v>21000</v>
      </c>
      <c r="L9" s="1">
        <v>0.08</v>
      </c>
      <c r="M9" t="s">
        <v>82</v>
      </c>
      <c r="N9" t="s">
        <v>83</v>
      </c>
      <c r="O9">
        <v>120</v>
      </c>
      <c r="P9">
        <v>1</v>
      </c>
    </row>
    <row r="10" spans="1:16" x14ac:dyDescent="0.25">
      <c r="A10" s="6" t="s">
        <v>60</v>
      </c>
      <c r="B10">
        <f>COUNTIF($C10:$C$33,C10)</f>
        <v>3</v>
      </c>
      <c r="C10">
        <v>3</v>
      </c>
      <c r="D10" t="s">
        <v>19</v>
      </c>
      <c r="E10">
        <v>10</v>
      </c>
      <c r="F10">
        <v>50</v>
      </c>
      <c r="G10">
        <v>1</v>
      </c>
      <c r="H10" s="2">
        <f t="shared" si="0"/>
        <v>5</v>
      </c>
      <c r="I10">
        <v>50</v>
      </c>
      <c r="J10" t="s">
        <v>7</v>
      </c>
      <c r="K10">
        <v>15000</v>
      </c>
      <c r="L10" s="1">
        <v>0.05</v>
      </c>
      <c r="M10" t="s">
        <v>84</v>
      </c>
      <c r="N10" t="s">
        <v>85</v>
      </c>
      <c r="O10">
        <v>120</v>
      </c>
      <c r="P10">
        <v>1</v>
      </c>
    </row>
    <row r="11" spans="1:16" x14ac:dyDescent="0.25">
      <c r="A11" s="6" t="s">
        <v>61</v>
      </c>
      <c r="B11">
        <f>COUNTIF($C11:$C$33,C11)</f>
        <v>2</v>
      </c>
      <c r="C11">
        <v>3</v>
      </c>
      <c r="D11" t="s">
        <v>18</v>
      </c>
      <c r="E11">
        <v>10</v>
      </c>
      <c r="F11">
        <v>30</v>
      </c>
      <c r="G11">
        <v>1</v>
      </c>
      <c r="H11" s="2">
        <f t="shared" si="0"/>
        <v>3</v>
      </c>
      <c r="I11">
        <v>50</v>
      </c>
      <c r="J11" t="s">
        <v>7</v>
      </c>
      <c r="K11">
        <v>11400</v>
      </c>
      <c r="L11" s="1">
        <v>0.05</v>
      </c>
      <c r="M11" t="s">
        <v>86</v>
      </c>
      <c r="N11" t="s">
        <v>87</v>
      </c>
      <c r="O11">
        <v>120</v>
      </c>
      <c r="P11">
        <v>1</v>
      </c>
    </row>
    <row r="12" spans="1:16" x14ac:dyDescent="0.25">
      <c r="A12" s="6">
        <v>91305</v>
      </c>
      <c r="B12">
        <f>COUNTIF($C12:$C$33,C12)</f>
        <v>1</v>
      </c>
      <c r="C12">
        <v>5</v>
      </c>
      <c r="D12" t="s">
        <v>17</v>
      </c>
      <c r="E12">
        <v>25</v>
      </c>
      <c r="F12">
        <v>800</v>
      </c>
      <c r="G12">
        <v>0.2</v>
      </c>
      <c r="H12" s="2">
        <f t="shared" si="0"/>
        <v>6.4</v>
      </c>
      <c r="I12">
        <v>80</v>
      </c>
      <c r="J12" t="s">
        <v>16</v>
      </c>
      <c r="K12">
        <v>90000</v>
      </c>
      <c r="L12" s="1">
        <v>0.23</v>
      </c>
      <c r="M12" t="s">
        <v>88</v>
      </c>
      <c r="N12" t="s">
        <v>89</v>
      </c>
      <c r="O12">
        <v>120</v>
      </c>
      <c r="P12">
        <v>1</v>
      </c>
    </row>
    <row r="13" spans="1:16" x14ac:dyDescent="0.25">
      <c r="A13" s="6">
        <v>90401</v>
      </c>
      <c r="B13">
        <f>COUNTIF($C13:$C$33,C13)</f>
        <v>3</v>
      </c>
      <c r="C13">
        <v>4</v>
      </c>
      <c r="D13" t="s">
        <v>15</v>
      </c>
      <c r="E13">
        <v>20</v>
      </c>
      <c r="F13">
        <v>350</v>
      </c>
      <c r="G13">
        <v>0.3</v>
      </c>
      <c r="H13" s="2">
        <f t="shared" si="0"/>
        <v>5.25</v>
      </c>
      <c r="I13">
        <v>60</v>
      </c>
      <c r="J13" t="s">
        <v>9</v>
      </c>
      <c r="K13">
        <v>45000</v>
      </c>
      <c r="L13" s="1">
        <v>0.12</v>
      </c>
      <c r="M13" t="s">
        <v>90</v>
      </c>
      <c r="N13" t="s">
        <v>89</v>
      </c>
      <c r="O13">
        <v>120</v>
      </c>
      <c r="P13">
        <v>1</v>
      </c>
    </row>
    <row r="14" spans="1:16" x14ac:dyDescent="0.25">
      <c r="A14" s="6" t="s">
        <v>62</v>
      </c>
      <c r="B14">
        <f>COUNTIF($C14:$C$33,C14)</f>
        <v>1</v>
      </c>
      <c r="C14">
        <v>3</v>
      </c>
      <c r="D14" t="s">
        <v>14</v>
      </c>
      <c r="E14">
        <v>10</v>
      </c>
      <c r="F14">
        <v>220</v>
      </c>
      <c r="G14">
        <v>0.3</v>
      </c>
      <c r="H14" s="2">
        <f t="shared" si="0"/>
        <v>6.6</v>
      </c>
      <c r="I14">
        <v>30</v>
      </c>
      <c r="J14" t="s">
        <v>7</v>
      </c>
      <c r="K14">
        <v>13400</v>
      </c>
      <c r="L14" s="1">
        <v>0.15</v>
      </c>
      <c r="M14" t="s">
        <v>91</v>
      </c>
      <c r="N14" t="s">
        <v>92</v>
      </c>
      <c r="O14">
        <v>120</v>
      </c>
      <c r="P14">
        <v>1</v>
      </c>
    </row>
    <row r="15" spans="1:16" x14ac:dyDescent="0.25">
      <c r="A15" s="6" t="s">
        <v>63</v>
      </c>
      <c r="B15">
        <f>COUNTIF($C15:$C$33,C15)</f>
        <v>3</v>
      </c>
      <c r="C15">
        <v>2</v>
      </c>
      <c r="D15" t="s">
        <v>13</v>
      </c>
      <c r="E15">
        <v>10</v>
      </c>
      <c r="F15">
        <v>60</v>
      </c>
      <c r="G15">
        <v>0.5</v>
      </c>
      <c r="H15" s="2">
        <f t="shared" si="0"/>
        <v>3</v>
      </c>
      <c r="I15">
        <v>10</v>
      </c>
      <c r="J15" t="s">
        <v>0</v>
      </c>
      <c r="K15">
        <v>6700</v>
      </c>
      <c r="L15" s="1">
        <v>0.1</v>
      </c>
    </row>
    <row r="16" spans="1:16" ht="18.75" customHeight="1" x14ac:dyDescent="0.25">
      <c r="A16" s="6" t="s">
        <v>64</v>
      </c>
      <c r="B16">
        <f>COUNTIF($C16:$C$33,C16)</f>
        <v>6</v>
      </c>
      <c r="C16">
        <v>1</v>
      </c>
      <c r="D16" s="5" t="s">
        <v>12</v>
      </c>
      <c r="E16">
        <v>10</v>
      </c>
      <c r="F16">
        <v>30</v>
      </c>
      <c r="G16">
        <v>1</v>
      </c>
      <c r="H16" s="2">
        <f t="shared" si="0"/>
        <v>3</v>
      </c>
      <c r="I16">
        <v>10</v>
      </c>
      <c r="J16" t="s">
        <v>0</v>
      </c>
      <c r="K16">
        <v>1600</v>
      </c>
      <c r="L16" s="1">
        <v>0.25</v>
      </c>
    </row>
    <row r="17" spans="1:12" x14ac:dyDescent="0.25">
      <c r="A17" s="6" t="s">
        <v>65</v>
      </c>
      <c r="B17">
        <f>COUNTIF($C17:$C$33,C17)</f>
        <v>5</v>
      </c>
      <c r="C17">
        <v>1</v>
      </c>
      <c r="D17" t="s">
        <v>11</v>
      </c>
      <c r="E17">
        <v>15</v>
      </c>
      <c r="F17">
        <v>90</v>
      </c>
      <c r="G17">
        <v>1.6</v>
      </c>
      <c r="H17" s="2">
        <f t="shared" si="0"/>
        <v>9.6000000000000014</v>
      </c>
      <c r="I17">
        <v>10</v>
      </c>
      <c r="J17" t="s">
        <v>0</v>
      </c>
      <c r="K17">
        <v>3000</v>
      </c>
      <c r="L17" s="1">
        <v>0.25</v>
      </c>
    </row>
    <row r="18" spans="1:12" ht="17.399999999999999" x14ac:dyDescent="0.25">
      <c r="A18" s="6">
        <v>91308</v>
      </c>
      <c r="B18">
        <f>COUNTIF($C18:$C$33,C18)</f>
        <v>2</v>
      </c>
      <c r="C18">
        <v>4</v>
      </c>
      <c r="D18" s="4" t="s">
        <v>10</v>
      </c>
      <c r="E18">
        <v>0</v>
      </c>
      <c r="F18">
        <v>7</v>
      </c>
      <c r="G18">
        <v>0</v>
      </c>
      <c r="H18" s="2">
        <v>4</v>
      </c>
      <c r="I18">
        <v>20</v>
      </c>
      <c r="J18" t="s">
        <v>9</v>
      </c>
      <c r="K18">
        <v>25000</v>
      </c>
      <c r="L18" s="1">
        <v>0.25</v>
      </c>
    </row>
    <row r="19" spans="1:12" ht="17.399999999999999" x14ac:dyDescent="0.25">
      <c r="A19" s="6" t="s">
        <v>66</v>
      </c>
      <c r="B19">
        <f>COUNTIF($C19:$C$33,C19)</f>
        <v>2</v>
      </c>
      <c r="C19">
        <v>2</v>
      </c>
      <c r="D19" s="4" t="s">
        <v>8</v>
      </c>
      <c r="E19">
        <v>0</v>
      </c>
      <c r="F19">
        <v>4</v>
      </c>
      <c r="G19">
        <v>0</v>
      </c>
      <c r="H19" s="2">
        <v>6</v>
      </c>
      <c r="I19">
        <v>10</v>
      </c>
      <c r="J19" t="s">
        <v>7</v>
      </c>
      <c r="K19">
        <v>8500</v>
      </c>
      <c r="L19" s="1">
        <v>0.25</v>
      </c>
    </row>
    <row r="20" spans="1:12" ht="17.399999999999999" x14ac:dyDescent="0.25">
      <c r="A20" s="6" t="s">
        <v>67</v>
      </c>
      <c r="B20">
        <f>COUNTIF($C20:$C$33,C20)</f>
        <v>4</v>
      </c>
      <c r="C20">
        <v>1</v>
      </c>
      <c r="D20" s="4" t="s">
        <v>6</v>
      </c>
      <c r="E20">
        <v>0</v>
      </c>
      <c r="F20">
        <v>2</v>
      </c>
      <c r="G20">
        <v>0</v>
      </c>
      <c r="H20" s="2">
        <v>8</v>
      </c>
      <c r="I20">
        <v>15</v>
      </c>
      <c r="J20" t="s">
        <v>0</v>
      </c>
      <c r="K20">
        <v>2300</v>
      </c>
      <c r="L20" s="1">
        <v>0.27</v>
      </c>
    </row>
    <row r="21" spans="1:12" ht="17.399999999999999" x14ac:dyDescent="0.25">
      <c r="A21" s="6" t="s">
        <v>68</v>
      </c>
      <c r="B21">
        <f>COUNTIF($C21:$C$33,C21)</f>
        <v>3</v>
      </c>
      <c r="C21">
        <v>1</v>
      </c>
      <c r="D21" s="4" t="s">
        <v>5</v>
      </c>
      <c r="E21">
        <v>0</v>
      </c>
      <c r="F21">
        <v>4</v>
      </c>
      <c r="G21">
        <v>0</v>
      </c>
      <c r="H21" s="2">
        <v>2</v>
      </c>
      <c r="I21">
        <v>10</v>
      </c>
      <c r="J21" t="s">
        <v>0</v>
      </c>
      <c r="K21">
        <v>2500</v>
      </c>
      <c r="L21" s="1">
        <v>0.25</v>
      </c>
    </row>
    <row r="22" spans="1:12" ht="17.399999999999999" x14ac:dyDescent="0.25">
      <c r="A22" s="6" t="s">
        <v>69</v>
      </c>
      <c r="B22">
        <f>COUNTIF($C22:$C$33,C22)</f>
        <v>2</v>
      </c>
      <c r="C22">
        <v>1</v>
      </c>
      <c r="D22" s="4" t="s">
        <v>4</v>
      </c>
      <c r="E22">
        <v>0</v>
      </c>
      <c r="F22">
        <v>2</v>
      </c>
      <c r="G22">
        <v>0</v>
      </c>
      <c r="H22" s="2">
        <v>3</v>
      </c>
      <c r="I22">
        <v>15</v>
      </c>
      <c r="J22" t="s">
        <v>0</v>
      </c>
      <c r="K22">
        <v>1000</v>
      </c>
      <c r="L22" s="1">
        <v>0.23</v>
      </c>
    </row>
    <row r="23" spans="1:12" ht="17.399999999999999" x14ac:dyDescent="0.25">
      <c r="A23" s="6">
        <v>90601</v>
      </c>
      <c r="B23">
        <f>COUNTIF($C23:$C$33,C23)</f>
        <v>1</v>
      </c>
      <c r="C23">
        <v>4</v>
      </c>
      <c r="D23" s="4" t="s">
        <v>3</v>
      </c>
      <c r="E23">
        <v>0</v>
      </c>
      <c r="F23">
        <v>5</v>
      </c>
      <c r="G23">
        <v>0</v>
      </c>
      <c r="H23" s="2">
        <v>3</v>
      </c>
      <c r="I23">
        <v>15</v>
      </c>
      <c r="J23" t="s">
        <v>0</v>
      </c>
      <c r="K23">
        <v>22000</v>
      </c>
      <c r="L23" s="1">
        <v>0.2</v>
      </c>
    </row>
    <row r="24" spans="1:12" ht="17.399999999999999" x14ac:dyDescent="0.25">
      <c r="A24" s="6" t="s">
        <v>70</v>
      </c>
      <c r="B24">
        <f>COUNTIF($C24:$C$33,C24)</f>
        <v>1</v>
      </c>
      <c r="C24">
        <v>2</v>
      </c>
      <c r="D24" s="4" t="s">
        <v>2</v>
      </c>
      <c r="E24">
        <v>0</v>
      </c>
      <c r="F24">
        <v>3</v>
      </c>
      <c r="G24">
        <v>0</v>
      </c>
      <c r="H24" s="2">
        <v>4</v>
      </c>
      <c r="I24">
        <v>20</v>
      </c>
      <c r="J24" t="s">
        <v>0</v>
      </c>
      <c r="K24">
        <v>6400</v>
      </c>
      <c r="L24" s="1">
        <v>0.23</v>
      </c>
    </row>
    <row r="25" spans="1:12" ht="30" x14ac:dyDescent="0.25">
      <c r="A25" s="6" t="s">
        <v>71</v>
      </c>
      <c r="B25">
        <f>COUNTIF($C25:$C$33,C25)</f>
        <v>1</v>
      </c>
      <c r="C25">
        <v>1</v>
      </c>
      <c r="D25" s="3" t="s">
        <v>1</v>
      </c>
      <c r="E25">
        <v>0</v>
      </c>
      <c r="F25">
        <v>1</v>
      </c>
      <c r="G25">
        <v>0</v>
      </c>
      <c r="H25" s="2">
        <v>2</v>
      </c>
      <c r="I25">
        <v>10</v>
      </c>
      <c r="J25" t="s">
        <v>0</v>
      </c>
      <c r="K25">
        <v>1900</v>
      </c>
      <c r="L25" s="1">
        <v>0.2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Consumable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2025-05-20T06:40:20Z</dcterms:created>
  <dcterms:modified xsi:type="dcterms:W3CDTF">2025-05-26T08:57:08Z</dcterms:modified>
</cp:coreProperties>
</file>